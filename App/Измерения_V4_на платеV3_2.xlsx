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82E6E04A-C90A-449B-A7DA-F1419225C986}" xr6:coauthVersionLast="37" xr6:coauthVersionMax="37" xr10:uidLastSave="{00000000-0000-0000-0000-000000000000}"/>
  <bookViews>
    <workbookView xWindow="0" yWindow="0" windowWidth="22260" windowHeight="12645" activeTab="1" xr2:uid="{00000000-000D-0000-FFFF-FFFF00000000}"/>
  </bookViews>
  <sheets>
    <sheet name="Исходные результыты измерений" sheetId="1" r:id="rId1"/>
    <sheet name="Здесь только целые значения мВ 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6" i="2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10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4" i="1"/>
</calcChain>
</file>

<file path=xl/sharedStrings.xml><?xml version="1.0" encoding="utf-8"?>
<sst xmlns="http://schemas.openxmlformats.org/spreadsheetml/2006/main" count="18" uniqueCount="12">
  <si>
    <t>На вход АЦП, мВ</t>
  </si>
  <si>
    <t>АЦП 1231</t>
  </si>
  <si>
    <t>Дельта АЦП231</t>
  </si>
  <si>
    <t>АЦП 1251</t>
  </si>
  <si>
    <t>Дельта АЦП 1251</t>
  </si>
  <si>
    <t>Все результаты измерений</t>
  </si>
  <si>
    <t>Здесь резултаты с целыми значениями мВ</t>
  </si>
  <si>
    <t>Значения АЦП микросхемы 1231 шумели +-6 условных едениц</t>
  </si>
  <si>
    <t>Значения АЦП микросхемы 1251 шумели +-1 условных едениц</t>
  </si>
  <si>
    <t>Измерения производились без подключения тензодатчиков, в схеме платы заместно резистора R1, 10кОм, поставили переменный резистор 20кОм, и с помощью него выстовляли нужное нам нам напряжение, мВ</t>
  </si>
  <si>
    <t xml:space="preserve">ADS1251: частота преобразования 80ppm, 4 последовательных преобразования, берем результаты 4 преобразования, A_filter = 10, order = 4; </t>
  </si>
  <si>
    <t xml:space="preserve">ADS1231: частота преобразования 80ppm, 1 последовательное преобразование, берем результаты 1 преобразования, A_filter = 10, order = 4;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</si>
</sst>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Alignment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АЦП</a:t>
            </a:r>
            <a:r>
              <a:rPr lang="ru-RU" baseline="0"/>
              <a:t> 1231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cat>
            <c:numRef>
              <c:f>'Здесь только целые значения мВ '!$D$6:$D$42</c:f>
              <c:numCache>
                <c:formatCode>General</c:formatCode>
                <c:ptCount val="37"/>
                <c:pt idx="0">
                  <c:v>-2370</c:v>
                </c:pt>
                <c:pt idx="1">
                  <c:v>-2240</c:v>
                </c:pt>
                <c:pt idx="2">
                  <c:v>-2110</c:v>
                </c:pt>
                <c:pt idx="3">
                  <c:v>-1975</c:v>
                </c:pt>
                <c:pt idx="4">
                  <c:v>-1850</c:v>
                </c:pt>
                <c:pt idx="5">
                  <c:v>-1715</c:v>
                </c:pt>
                <c:pt idx="6">
                  <c:v>-1590</c:v>
                </c:pt>
                <c:pt idx="7">
                  <c:v>-1460</c:v>
                </c:pt>
                <c:pt idx="8">
                  <c:v>-1310</c:v>
                </c:pt>
                <c:pt idx="9">
                  <c:v>-1190</c:v>
                </c:pt>
                <c:pt idx="10">
                  <c:v>-1040</c:v>
                </c:pt>
                <c:pt idx="11">
                  <c:v>-930</c:v>
                </c:pt>
                <c:pt idx="12">
                  <c:v>-782</c:v>
                </c:pt>
                <c:pt idx="13">
                  <c:v>-650</c:v>
                </c:pt>
                <c:pt idx="14">
                  <c:v>-529</c:v>
                </c:pt>
                <c:pt idx="15">
                  <c:v>-396</c:v>
                </c:pt>
                <c:pt idx="16">
                  <c:v>-260</c:v>
                </c:pt>
                <c:pt idx="17">
                  <c:v>-118</c:v>
                </c:pt>
                <c:pt idx="18">
                  <c:v>-5</c:v>
                </c:pt>
                <c:pt idx="19">
                  <c:v>130</c:v>
                </c:pt>
                <c:pt idx="20">
                  <c:v>265</c:v>
                </c:pt>
                <c:pt idx="21">
                  <c:v>410</c:v>
                </c:pt>
                <c:pt idx="22">
                  <c:v>535</c:v>
                </c:pt>
                <c:pt idx="23">
                  <c:v>664</c:v>
                </c:pt>
                <c:pt idx="24">
                  <c:v>790</c:v>
                </c:pt>
                <c:pt idx="25">
                  <c:v>923</c:v>
                </c:pt>
                <c:pt idx="26">
                  <c:v>1057</c:v>
                </c:pt>
                <c:pt idx="27">
                  <c:v>1180</c:v>
                </c:pt>
                <c:pt idx="28">
                  <c:v>1324</c:v>
                </c:pt>
                <c:pt idx="29">
                  <c:v>1445</c:v>
                </c:pt>
                <c:pt idx="30">
                  <c:v>1588</c:v>
                </c:pt>
                <c:pt idx="31">
                  <c:v>1712</c:v>
                </c:pt>
                <c:pt idx="32">
                  <c:v>1850</c:v>
                </c:pt>
                <c:pt idx="33">
                  <c:v>1977</c:v>
                </c:pt>
                <c:pt idx="34">
                  <c:v>2105</c:v>
                </c:pt>
                <c:pt idx="35">
                  <c:v>2235</c:v>
                </c:pt>
                <c:pt idx="36">
                  <c:v>2370</c:v>
                </c:pt>
              </c:numCache>
            </c:numRef>
          </c:cat>
          <c:val>
            <c:numRef>
              <c:f>'Здесь только целые значения мВ '!$C$6:$C$42</c:f>
              <c:numCache>
                <c:formatCode>General</c:formatCode>
                <c:ptCount val="37"/>
                <c:pt idx="0">
                  <c:v>-18</c:v>
                </c:pt>
                <c:pt idx="1">
                  <c:v>-17</c:v>
                </c:pt>
                <c:pt idx="2">
                  <c:v>-16</c:v>
                </c:pt>
                <c:pt idx="3">
                  <c:v>-15</c:v>
                </c:pt>
                <c:pt idx="4">
                  <c:v>-14</c:v>
                </c:pt>
                <c:pt idx="5">
                  <c:v>-13</c:v>
                </c:pt>
                <c:pt idx="6">
                  <c:v>-12</c:v>
                </c:pt>
                <c:pt idx="7">
                  <c:v>-11</c:v>
                </c:pt>
                <c:pt idx="8">
                  <c:v>-10</c:v>
                </c:pt>
                <c:pt idx="9">
                  <c:v>-9</c:v>
                </c:pt>
                <c:pt idx="10">
                  <c:v>-8</c:v>
                </c:pt>
                <c:pt idx="11">
                  <c:v>-7</c:v>
                </c:pt>
                <c:pt idx="12">
                  <c:v>-6</c:v>
                </c:pt>
                <c:pt idx="13">
                  <c:v>-5</c:v>
                </c:pt>
                <c:pt idx="14">
                  <c:v>-4</c:v>
                </c:pt>
                <c:pt idx="15">
                  <c:v>-3</c:v>
                </c:pt>
                <c:pt idx="16">
                  <c:v>-2</c:v>
                </c:pt>
                <c:pt idx="17">
                  <c:v>-1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7</c:v>
                </c:pt>
                <c:pt idx="26">
                  <c:v>8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08-4C8B-8F11-ED3F003DD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365535"/>
        <c:axId val="246378303"/>
      </c:lineChart>
      <c:catAx>
        <c:axId val="212436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378303"/>
        <c:crosses val="autoZero"/>
        <c:auto val="1"/>
        <c:lblAlgn val="ctr"/>
        <c:lblOffset val="100"/>
        <c:noMultiLvlLbl val="0"/>
      </c:catAx>
      <c:valAx>
        <c:axId val="24637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4365535"/>
        <c:crosses val="autoZero"/>
        <c:crossBetween val="between"/>
        <c:majorUnit val="1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АЦП</a:t>
            </a:r>
            <a:r>
              <a:rPr lang="ru-RU" baseline="0"/>
              <a:t> 1251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cat>
            <c:numRef>
              <c:f>'Здесь только целые значения мВ '!$F$14:$F$34</c:f>
              <c:numCache>
                <c:formatCode>General</c:formatCode>
                <c:ptCount val="21"/>
                <c:pt idx="0">
                  <c:v>4025</c:v>
                </c:pt>
                <c:pt idx="1">
                  <c:v>3879</c:v>
                </c:pt>
                <c:pt idx="2">
                  <c:v>3714</c:v>
                </c:pt>
                <c:pt idx="3">
                  <c:v>3573</c:v>
                </c:pt>
                <c:pt idx="4">
                  <c:v>3411</c:v>
                </c:pt>
                <c:pt idx="5">
                  <c:v>3257</c:v>
                </c:pt>
                <c:pt idx="6">
                  <c:v>3111</c:v>
                </c:pt>
                <c:pt idx="7">
                  <c:v>2959</c:v>
                </c:pt>
                <c:pt idx="8">
                  <c:v>2802</c:v>
                </c:pt>
                <c:pt idx="9">
                  <c:v>2654</c:v>
                </c:pt>
                <c:pt idx="10">
                  <c:v>2490</c:v>
                </c:pt>
                <c:pt idx="11">
                  <c:v>2351</c:v>
                </c:pt>
                <c:pt idx="12">
                  <c:v>2189</c:v>
                </c:pt>
                <c:pt idx="13">
                  <c:v>2044</c:v>
                </c:pt>
                <c:pt idx="14">
                  <c:v>1885</c:v>
                </c:pt>
                <c:pt idx="15">
                  <c:v>1742</c:v>
                </c:pt>
                <c:pt idx="16">
                  <c:v>1587</c:v>
                </c:pt>
                <c:pt idx="17">
                  <c:v>1435</c:v>
                </c:pt>
                <c:pt idx="18">
                  <c:v>1280</c:v>
                </c:pt>
                <c:pt idx="19">
                  <c:v>1123</c:v>
                </c:pt>
                <c:pt idx="20">
                  <c:v>970</c:v>
                </c:pt>
              </c:numCache>
            </c:numRef>
          </c:cat>
          <c:val>
            <c:numRef>
              <c:f>'Здесь только целые значения мВ '!$C$14:$C$34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1-4CE3-95D5-64F7E2A6E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365535"/>
        <c:axId val="246378303"/>
      </c:lineChart>
      <c:catAx>
        <c:axId val="212436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378303"/>
        <c:crosses val="autoZero"/>
        <c:auto val="1"/>
        <c:lblAlgn val="ctr"/>
        <c:lblOffset val="100"/>
        <c:noMultiLvlLbl val="0"/>
      </c:catAx>
      <c:valAx>
        <c:axId val="24637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4365535"/>
        <c:crosses val="autoZero"/>
        <c:crossBetween val="between"/>
        <c:majorUnit val="1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27214</xdr:colOff>
      <xdr:row>5</xdr:row>
      <xdr:rowOff>40821</xdr:rowOff>
    </xdr:from>
    <xdr:to>
      <xdr:col>27</xdr:col>
      <xdr:colOff>420383</xdr:colOff>
      <xdr:row>42</xdr:row>
      <xdr:rowOff>31977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FAABCEF-BC49-4D37-916A-2C672051C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27214</xdr:colOff>
      <xdr:row>45</xdr:row>
      <xdr:rowOff>40821</xdr:rowOff>
    </xdr:from>
    <xdr:to>
      <xdr:col>27</xdr:col>
      <xdr:colOff>420383</xdr:colOff>
      <xdr:row>82</xdr:row>
      <xdr:rowOff>31977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191BC06-F08D-4932-AD9D-25A48EF10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opLeftCell="A13" workbookViewId="0">
      <selection sqref="A1:R1"/>
    </sheetView>
  </sheetViews>
  <sheetFormatPr defaultRowHeight="15" x14ac:dyDescent="0.25"/>
  <cols>
    <col min="2" max="2" width="20.42578125" customWidth="1"/>
    <col min="3" max="3" width="12.5703125" customWidth="1"/>
    <col min="4" max="4" width="17.140625" customWidth="1"/>
    <col min="5" max="5" width="13.7109375" customWidth="1"/>
    <col min="6" max="6" width="20.140625" customWidth="1"/>
  </cols>
  <sheetData>
    <row r="1" spans="1:18" ht="26.25" customHeight="1" x14ac:dyDescent="0.25">
      <c r="A1" s="4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25">
      <c r="B2" s="3" t="s">
        <v>5</v>
      </c>
      <c r="C2" s="3"/>
      <c r="D2" s="3"/>
      <c r="E2" s="3"/>
      <c r="F2" s="3"/>
    </row>
    <row r="3" spans="1:18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18" x14ac:dyDescent="0.25">
      <c r="B4" s="1">
        <v>-18</v>
      </c>
      <c r="C4" s="1">
        <v>-2370</v>
      </c>
      <c r="D4" s="2">
        <f>C4-C5</f>
        <v>-130</v>
      </c>
      <c r="E4" s="1">
        <v>4237</v>
      </c>
      <c r="F4" s="1"/>
    </row>
    <row r="5" spans="1:18" x14ac:dyDescent="0.25">
      <c r="B5" s="1">
        <v>-17</v>
      </c>
      <c r="C5" s="1">
        <v>-2240</v>
      </c>
      <c r="D5" s="2">
        <f t="shared" ref="D5:D52" si="0">C5-C6</f>
        <v>-130</v>
      </c>
      <c r="E5" s="1">
        <v>4237</v>
      </c>
      <c r="F5" s="1"/>
    </row>
    <row r="6" spans="1:18" x14ac:dyDescent="0.25">
      <c r="B6" s="1">
        <v>-16</v>
      </c>
      <c r="C6" s="1">
        <v>-2110</v>
      </c>
      <c r="D6" s="2">
        <f t="shared" si="0"/>
        <v>-135</v>
      </c>
      <c r="E6" s="1">
        <v>4237</v>
      </c>
      <c r="F6" s="1"/>
    </row>
    <row r="7" spans="1:18" x14ac:dyDescent="0.25">
      <c r="B7" s="1">
        <v>-15</v>
      </c>
      <c r="C7" s="1">
        <v>-1975</v>
      </c>
      <c r="D7" s="2">
        <f t="shared" si="0"/>
        <v>-125</v>
      </c>
      <c r="E7" s="1">
        <v>4237</v>
      </c>
      <c r="F7" s="1"/>
    </row>
    <row r="8" spans="1:18" x14ac:dyDescent="0.25">
      <c r="B8" s="1">
        <v>-14</v>
      </c>
      <c r="C8" s="1">
        <v>-1850</v>
      </c>
      <c r="D8" s="2">
        <f t="shared" si="0"/>
        <v>-135</v>
      </c>
      <c r="E8" s="1">
        <v>4237</v>
      </c>
      <c r="F8" s="1"/>
    </row>
    <row r="9" spans="1:18" x14ac:dyDescent="0.25">
      <c r="B9" s="1">
        <v>-13</v>
      </c>
      <c r="C9" s="1">
        <v>-1715</v>
      </c>
      <c r="D9" s="2">
        <f t="shared" si="0"/>
        <v>-125</v>
      </c>
      <c r="E9" s="1">
        <v>4237</v>
      </c>
      <c r="F9" s="1"/>
    </row>
    <row r="10" spans="1:18" x14ac:dyDescent="0.25">
      <c r="B10" s="1">
        <v>-12</v>
      </c>
      <c r="C10" s="1">
        <v>-1590</v>
      </c>
      <c r="D10" s="2">
        <f t="shared" si="0"/>
        <v>-130</v>
      </c>
      <c r="E10" s="1">
        <v>4237</v>
      </c>
      <c r="F10" s="2">
        <f>E10-E11</f>
        <v>61</v>
      </c>
    </row>
    <row r="11" spans="1:18" x14ac:dyDescent="0.25">
      <c r="B11" s="1">
        <v>-11</v>
      </c>
      <c r="C11" s="1">
        <v>-1460</v>
      </c>
      <c r="D11" s="2">
        <f t="shared" si="0"/>
        <v>-150</v>
      </c>
      <c r="E11" s="1">
        <v>4176</v>
      </c>
      <c r="F11" s="2">
        <f t="shared" ref="F11:F45" si="1">E11-E12</f>
        <v>151</v>
      </c>
    </row>
    <row r="12" spans="1:18" x14ac:dyDescent="0.25">
      <c r="B12" s="1">
        <v>-10</v>
      </c>
      <c r="C12" s="1">
        <v>-1310</v>
      </c>
      <c r="D12" s="2">
        <f t="shared" si="0"/>
        <v>-120</v>
      </c>
      <c r="E12" s="1">
        <v>4025</v>
      </c>
      <c r="F12" s="2">
        <f t="shared" si="1"/>
        <v>146</v>
      </c>
    </row>
    <row r="13" spans="1:18" x14ac:dyDescent="0.25">
      <c r="B13" s="1">
        <v>-9</v>
      </c>
      <c r="C13" s="1">
        <v>-1190</v>
      </c>
      <c r="D13" s="2">
        <f t="shared" si="0"/>
        <v>-150</v>
      </c>
      <c r="E13" s="1">
        <v>3879</v>
      </c>
      <c r="F13" s="2">
        <f t="shared" si="1"/>
        <v>165</v>
      </c>
    </row>
    <row r="14" spans="1:18" x14ac:dyDescent="0.25">
      <c r="B14" s="1">
        <v>-8</v>
      </c>
      <c r="C14" s="1">
        <v>-1040</v>
      </c>
      <c r="D14" s="2">
        <f t="shared" si="0"/>
        <v>-110</v>
      </c>
      <c r="E14" s="1">
        <v>3714</v>
      </c>
      <c r="F14" s="2">
        <f t="shared" si="1"/>
        <v>141</v>
      </c>
    </row>
    <row r="15" spans="1:18" x14ac:dyDescent="0.25">
      <c r="B15" s="1">
        <v>-7</v>
      </c>
      <c r="C15" s="1">
        <v>-930</v>
      </c>
      <c r="D15" s="2">
        <f t="shared" si="0"/>
        <v>-148</v>
      </c>
      <c r="E15" s="1">
        <v>3573</v>
      </c>
      <c r="F15" s="2">
        <f t="shared" si="1"/>
        <v>162</v>
      </c>
    </row>
    <row r="16" spans="1:18" x14ac:dyDescent="0.25">
      <c r="B16" s="1">
        <v>-6</v>
      </c>
      <c r="C16" s="1">
        <v>-782</v>
      </c>
      <c r="D16" s="2">
        <f t="shared" si="0"/>
        <v>-52</v>
      </c>
      <c r="E16" s="1">
        <v>3411</v>
      </c>
      <c r="F16" s="2">
        <f t="shared" si="1"/>
        <v>72</v>
      </c>
    </row>
    <row r="17" spans="2:6" x14ac:dyDescent="0.25">
      <c r="B17" s="1">
        <v>-5.5</v>
      </c>
      <c r="C17" s="1">
        <v>-730</v>
      </c>
      <c r="D17" s="2">
        <f t="shared" si="0"/>
        <v>-80</v>
      </c>
      <c r="E17" s="1">
        <v>3339</v>
      </c>
      <c r="F17" s="2">
        <f t="shared" si="1"/>
        <v>82</v>
      </c>
    </row>
    <row r="18" spans="2:6" x14ac:dyDescent="0.25">
      <c r="B18" s="1">
        <v>-5</v>
      </c>
      <c r="C18" s="1">
        <v>-650</v>
      </c>
      <c r="D18" s="2">
        <f t="shared" si="0"/>
        <v>-60</v>
      </c>
      <c r="E18" s="1">
        <v>3257</v>
      </c>
      <c r="F18" s="2">
        <f t="shared" si="1"/>
        <v>68</v>
      </c>
    </row>
    <row r="19" spans="2:6" x14ac:dyDescent="0.25">
      <c r="B19" s="1">
        <v>-4.5</v>
      </c>
      <c r="C19" s="1">
        <v>-590</v>
      </c>
      <c r="D19" s="2">
        <f t="shared" si="0"/>
        <v>-61</v>
      </c>
      <c r="E19" s="1">
        <v>3189</v>
      </c>
      <c r="F19" s="2">
        <f t="shared" si="1"/>
        <v>78</v>
      </c>
    </row>
    <row r="20" spans="2:6" x14ac:dyDescent="0.25">
      <c r="B20" s="1">
        <v>-4</v>
      </c>
      <c r="C20" s="1">
        <v>-529</v>
      </c>
      <c r="D20" s="2">
        <f t="shared" si="0"/>
        <v>-66</v>
      </c>
      <c r="E20" s="1">
        <v>3111</v>
      </c>
      <c r="F20" s="2">
        <f t="shared" si="1"/>
        <v>77</v>
      </c>
    </row>
    <row r="21" spans="2:6" x14ac:dyDescent="0.25">
      <c r="B21" s="1">
        <v>-3.5</v>
      </c>
      <c r="C21" s="1">
        <v>-463</v>
      </c>
      <c r="D21" s="2">
        <f t="shared" si="0"/>
        <v>-67</v>
      </c>
      <c r="E21" s="1">
        <v>3034</v>
      </c>
      <c r="F21" s="2">
        <f t="shared" si="1"/>
        <v>75</v>
      </c>
    </row>
    <row r="22" spans="2:6" x14ac:dyDescent="0.25">
      <c r="B22" s="1">
        <v>-3</v>
      </c>
      <c r="C22" s="1">
        <v>-396</v>
      </c>
      <c r="D22" s="2">
        <f t="shared" si="0"/>
        <v>-66</v>
      </c>
      <c r="E22" s="1">
        <v>2959</v>
      </c>
      <c r="F22" s="2">
        <f t="shared" si="1"/>
        <v>85</v>
      </c>
    </row>
    <row r="23" spans="2:6" x14ac:dyDescent="0.25">
      <c r="B23" s="1">
        <v>-2.5</v>
      </c>
      <c r="C23" s="1">
        <v>-330</v>
      </c>
      <c r="D23" s="2">
        <f t="shared" si="0"/>
        <v>-70</v>
      </c>
      <c r="E23" s="1">
        <v>2874</v>
      </c>
      <c r="F23" s="2">
        <f t="shared" si="1"/>
        <v>72</v>
      </c>
    </row>
    <row r="24" spans="2:6" x14ac:dyDescent="0.25">
      <c r="B24" s="1">
        <v>-2</v>
      </c>
      <c r="C24" s="1">
        <v>-260</v>
      </c>
      <c r="D24" s="2">
        <f t="shared" si="0"/>
        <v>-60</v>
      </c>
      <c r="E24" s="1">
        <v>2802</v>
      </c>
      <c r="F24" s="2">
        <f t="shared" si="1"/>
        <v>80</v>
      </c>
    </row>
    <row r="25" spans="2:6" x14ac:dyDescent="0.25">
      <c r="B25" s="1">
        <v>-1.5</v>
      </c>
      <c r="C25" s="1">
        <v>-200</v>
      </c>
      <c r="D25" s="2">
        <f t="shared" si="0"/>
        <v>-82</v>
      </c>
      <c r="E25" s="1">
        <v>2722</v>
      </c>
      <c r="F25" s="2">
        <f t="shared" si="1"/>
        <v>68</v>
      </c>
    </row>
    <row r="26" spans="2:6" x14ac:dyDescent="0.25">
      <c r="B26" s="1">
        <v>-1</v>
      </c>
      <c r="C26" s="1">
        <v>-118</v>
      </c>
      <c r="D26" s="2">
        <f t="shared" si="0"/>
        <v>-48</v>
      </c>
      <c r="E26" s="1">
        <v>2654</v>
      </c>
      <c r="F26" s="2">
        <f t="shared" si="1"/>
        <v>72</v>
      </c>
    </row>
    <row r="27" spans="2:6" x14ac:dyDescent="0.25">
      <c r="B27" s="1">
        <v>-0.5</v>
      </c>
      <c r="C27" s="1">
        <v>-70</v>
      </c>
      <c r="D27" s="2">
        <f t="shared" si="0"/>
        <v>-65</v>
      </c>
      <c r="E27" s="1">
        <v>2582</v>
      </c>
      <c r="F27" s="2">
        <f t="shared" si="1"/>
        <v>92</v>
      </c>
    </row>
    <row r="28" spans="2:6" x14ac:dyDescent="0.25">
      <c r="B28" s="1">
        <v>0</v>
      </c>
      <c r="C28" s="1">
        <v>-5</v>
      </c>
      <c r="D28" s="2">
        <f t="shared" si="0"/>
        <v>-60</v>
      </c>
      <c r="E28" s="1">
        <v>2490</v>
      </c>
      <c r="F28" s="2">
        <f t="shared" si="1"/>
        <v>60</v>
      </c>
    </row>
    <row r="29" spans="2:6" x14ac:dyDescent="0.25">
      <c r="B29" s="1">
        <v>0.5</v>
      </c>
      <c r="C29" s="1">
        <v>55</v>
      </c>
      <c r="D29" s="2">
        <f t="shared" si="0"/>
        <v>-75</v>
      </c>
      <c r="E29" s="1">
        <v>2430</v>
      </c>
      <c r="F29" s="2">
        <f t="shared" si="1"/>
        <v>79</v>
      </c>
    </row>
    <row r="30" spans="2:6" x14ac:dyDescent="0.25">
      <c r="B30" s="1">
        <v>1</v>
      </c>
      <c r="C30" s="1">
        <v>130</v>
      </c>
      <c r="D30" s="2">
        <f t="shared" si="0"/>
        <v>-70</v>
      </c>
      <c r="E30" s="1">
        <v>2351</v>
      </c>
      <c r="F30" s="2">
        <f t="shared" si="1"/>
        <v>81</v>
      </c>
    </row>
    <row r="31" spans="2:6" x14ac:dyDescent="0.25">
      <c r="B31" s="1">
        <v>1.5</v>
      </c>
      <c r="C31" s="1">
        <v>200</v>
      </c>
      <c r="D31" s="2">
        <f t="shared" si="0"/>
        <v>-65</v>
      </c>
      <c r="E31" s="1">
        <v>2270</v>
      </c>
      <c r="F31" s="2">
        <f t="shared" si="1"/>
        <v>81</v>
      </c>
    </row>
    <row r="32" spans="2:6" x14ac:dyDescent="0.25">
      <c r="B32" s="1">
        <v>2</v>
      </c>
      <c r="C32" s="1">
        <v>265</v>
      </c>
      <c r="D32" s="2">
        <f t="shared" si="0"/>
        <v>-55</v>
      </c>
      <c r="E32" s="1">
        <v>2189</v>
      </c>
      <c r="F32" s="2">
        <f t="shared" si="1"/>
        <v>72</v>
      </c>
    </row>
    <row r="33" spans="2:6" x14ac:dyDescent="0.25">
      <c r="B33" s="1">
        <v>2.5</v>
      </c>
      <c r="C33" s="1">
        <v>320</v>
      </c>
      <c r="D33" s="2">
        <f t="shared" si="0"/>
        <v>-90</v>
      </c>
      <c r="E33" s="1">
        <v>2117</v>
      </c>
      <c r="F33" s="2">
        <f t="shared" si="1"/>
        <v>73</v>
      </c>
    </row>
    <row r="34" spans="2:6" x14ac:dyDescent="0.25">
      <c r="B34" s="1">
        <v>3</v>
      </c>
      <c r="C34" s="1">
        <v>410</v>
      </c>
      <c r="D34" s="2">
        <f t="shared" si="0"/>
        <v>-55</v>
      </c>
      <c r="E34" s="1">
        <v>2044</v>
      </c>
      <c r="F34" s="2">
        <f t="shared" si="1"/>
        <v>84</v>
      </c>
    </row>
    <row r="35" spans="2:6" x14ac:dyDescent="0.25">
      <c r="B35" s="1">
        <v>3.5</v>
      </c>
      <c r="C35" s="1">
        <v>465</v>
      </c>
      <c r="D35" s="2">
        <f t="shared" si="0"/>
        <v>-70</v>
      </c>
      <c r="E35" s="1">
        <v>1960</v>
      </c>
      <c r="F35" s="2">
        <f t="shared" si="1"/>
        <v>75</v>
      </c>
    </row>
    <row r="36" spans="2:6" x14ac:dyDescent="0.25">
      <c r="B36" s="1">
        <v>4</v>
      </c>
      <c r="C36" s="1">
        <v>535</v>
      </c>
      <c r="D36" s="2">
        <f t="shared" si="0"/>
        <v>-55</v>
      </c>
      <c r="E36" s="1">
        <v>1885</v>
      </c>
      <c r="F36" s="2">
        <f t="shared" si="1"/>
        <v>71</v>
      </c>
    </row>
    <row r="37" spans="2:6" x14ac:dyDescent="0.25">
      <c r="B37" s="1">
        <v>4.5</v>
      </c>
      <c r="C37" s="1">
        <v>590</v>
      </c>
      <c r="D37" s="2">
        <f t="shared" si="0"/>
        <v>-74</v>
      </c>
      <c r="E37" s="1">
        <v>1814</v>
      </c>
      <c r="F37" s="2">
        <f t="shared" si="1"/>
        <v>72</v>
      </c>
    </row>
    <row r="38" spans="2:6" x14ac:dyDescent="0.25">
      <c r="B38" s="1">
        <v>5</v>
      </c>
      <c r="C38" s="1">
        <v>664</v>
      </c>
      <c r="D38" s="2">
        <f t="shared" si="0"/>
        <v>-66</v>
      </c>
      <c r="E38" s="1">
        <v>1742</v>
      </c>
      <c r="F38" s="2">
        <f t="shared" si="1"/>
        <v>84</v>
      </c>
    </row>
    <row r="39" spans="2:6" x14ac:dyDescent="0.25">
      <c r="B39" s="1">
        <v>5.5</v>
      </c>
      <c r="C39" s="1">
        <v>730</v>
      </c>
      <c r="D39" s="2">
        <f t="shared" si="0"/>
        <v>-60</v>
      </c>
      <c r="E39" s="1">
        <v>1658</v>
      </c>
      <c r="F39" s="2">
        <f t="shared" si="1"/>
        <v>71</v>
      </c>
    </row>
    <row r="40" spans="2:6" x14ac:dyDescent="0.25">
      <c r="B40" s="1">
        <v>6</v>
      </c>
      <c r="C40" s="1">
        <v>790</v>
      </c>
      <c r="D40" s="2">
        <f t="shared" si="0"/>
        <v>-133</v>
      </c>
      <c r="E40" s="1">
        <v>1587</v>
      </c>
      <c r="F40" s="2">
        <f t="shared" si="1"/>
        <v>152</v>
      </c>
    </row>
    <row r="41" spans="2:6" x14ac:dyDescent="0.25">
      <c r="B41" s="1">
        <v>7</v>
      </c>
      <c r="C41" s="1">
        <v>923</v>
      </c>
      <c r="D41" s="2">
        <f t="shared" si="0"/>
        <v>-134</v>
      </c>
      <c r="E41" s="1">
        <v>1435</v>
      </c>
      <c r="F41" s="2">
        <f t="shared" si="1"/>
        <v>155</v>
      </c>
    </row>
    <row r="42" spans="2:6" x14ac:dyDescent="0.25">
      <c r="B42" s="1">
        <v>8</v>
      </c>
      <c r="C42" s="1">
        <v>1057</v>
      </c>
      <c r="D42" s="2">
        <f t="shared" si="0"/>
        <v>-123</v>
      </c>
      <c r="E42" s="1">
        <v>1280</v>
      </c>
      <c r="F42" s="2">
        <f t="shared" si="1"/>
        <v>157</v>
      </c>
    </row>
    <row r="43" spans="2:6" x14ac:dyDescent="0.25">
      <c r="B43" s="1">
        <v>9</v>
      </c>
      <c r="C43" s="1">
        <v>1180</v>
      </c>
      <c r="D43" s="2">
        <f t="shared" si="0"/>
        <v>-144</v>
      </c>
      <c r="E43" s="1">
        <v>1123</v>
      </c>
      <c r="F43" s="2">
        <f t="shared" si="1"/>
        <v>153</v>
      </c>
    </row>
    <row r="44" spans="2:6" x14ac:dyDescent="0.25">
      <c r="B44" s="1">
        <v>10</v>
      </c>
      <c r="C44" s="1">
        <v>1324</v>
      </c>
      <c r="D44" s="2">
        <f t="shared" si="0"/>
        <v>-121</v>
      </c>
      <c r="E44" s="1">
        <v>970</v>
      </c>
      <c r="F44" s="2">
        <f t="shared" si="1"/>
        <v>140</v>
      </c>
    </row>
    <row r="45" spans="2:6" x14ac:dyDescent="0.25">
      <c r="B45" s="1">
        <v>11</v>
      </c>
      <c r="C45" s="1">
        <v>1445</v>
      </c>
      <c r="D45" s="2">
        <f t="shared" si="0"/>
        <v>-143</v>
      </c>
      <c r="E45" s="1">
        <v>830</v>
      </c>
      <c r="F45" s="2">
        <f t="shared" si="1"/>
        <v>30</v>
      </c>
    </row>
    <row r="46" spans="2:6" x14ac:dyDescent="0.25">
      <c r="B46" s="1">
        <v>12</v>
      </c>
      <c r="C46" s="1">
        <v>1588</v>
      </c>
      <c r="D46" s="2">
        <f t="shared" si="0"/>
        <v>-124</v>
      </c>
      <c r="E46" s="1">
        <v>800</v>
      </c>
      <c r="F46" s="1"/>
    </row>
    <row r="47" spans="2:6" x14ac:dyDescent="0.25">
      <c r="B47" s="1">
        <v>13</v>
      </c>
      <c r="C47" s="1">
        <v>1712</v>
      </c>
      <c r="D47" s="2">
        <f t="shared" si="0"/>
        <v>-138</v>
      </c>
      <c r="E47" s="1">
        <v>800</v>
      </c>
      <c r="F47" s="1"/>
    </row>
    <row r="48" spans="2:6" x14ac:dyDescent="0.25">
      <c r="B48" s="1">
        <v>14</v>
      </c>
      <c r="C48" s="1">
        <v>1850</v>
      </c>
      <c r="D48" s="2">
        <f t="shared" si="0"/>
        <v>-127</v>
      </c>
      <c r="E48" s="1">
        <v>800</v>
      </c>
      <c r="F48" s="1"/>
    </row>
    <row r="49" spans="2:6" x14ac:dyDescent="0.25">
      <c r="B49" s="1">
        <v>15</v>
      </c>
      <c r="C49" s="1">
        <v>1977</v>
      </c>
      <c r="D49" s="2">
        <f t="shared" si="0"/>
        <v>-128</v>
      </c>
      <c r="E49" s="1">
        <v>800</v>
      </c>
      <c r="F49" s="1"/>
    </row>
    <row r="50" spans="2:6" x14ac:dyDescent="0.25">
      <c r="B50" s="1">
        <v>16</v>
      </c>
      <c r="C50" s="1">
        <v>2105</v>
      </c>
      <c r="D50" s="2">
        <f t="shared" si="0"/>
        <v>-130</v>
      </c>
      <c r="E50" s="1">
        <v>800</v>
      </c>
      <c r="F50" s="1"/>
    </row>
    <row r="51" spans="2:6" x14ac:dyDescent="0.25">
      <c r="B51" s="1">
        <v>17</v>
      </c>
      <c r="C51" s="1">
        <v>2235</v>
      </c>
      <c r="D51" s="2">
        <f t="shared" si="0"/>
        <v>-135</v>
      </c>
      <c r="E51" s="1">
        <v>800</v>
      </c>
      <c r="F51" s="1"/>
    </row>
    <row r="52" spans="2:6" x14ac:dyDescent="0.25">
      <c r="B52" s="1">
        <v>18</v>
      </c>
      <c r="C52" s="1">
        <v>2370</v>
      </c>
      <c r="D52" s="2">
        <f t="shared" si="0"/>
        <v>2370</v>
      </c>
      <c r="E52" s="1">
        <v>800</v>
      </c>
      <c r="F52" s="1"/>
    </row>
  </sheetData>
  <mergeCells count="2">
    <mergeCell ref="B2:F2"/>
    <mergeCell ref="A1:R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2363-45C1-4E28-9403-04FA9B52406A}">
  <dimension ref="A1:AB45"/>
  <sheetViews>
    <sheetView tabSelected="1" topLeftCell="A4" zoomScale="115" zoomScaleNormal="115" workbookViewId="0">
      <selection activeCell="A10" sqref="A10"/>
    </sheetView>
  </sheetViews>
  <sheetFormatPr defaultRowHeight="15" x14ac:dyDescent="0.25"/>
  <cols>
    <col min="3" max="3" width="16.85546875" customWidth="1"/>
    <col min="4" max="4" width="14.140625" customWidth="1"/>
    <col min="5" max="5" width="14.5703125" customWidth="1"/>
    <col min="6" max="6" width="13.7109375" customWidth="1"/>
    <col min="7" max="7" width="16.28515625" customWidth="1"/>
  </cols>
  <sheetData>
    <row r="1" spans="1:28" x14ac:dyDescent="0.25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8" x14ac:dyDescent="0.25">
      <c r="A2" s="7" t="s">
        <v>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6"/>
      <c r="W2" s="6"/>
      <c r="X2" s="6"/>
      <c r="Y2" s="6"/>
      <c r="Z2" s="6"/>
    </row>
    <row r="3" spans="1:28" x14ac:dyDescent="0.25">
      <c r="A3" s="7" t="s">
        <v>11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8" x14ac:dyDescent="0.25">
      <c r="C4" s="8" t="s">
        <v>6</v>
      </c>
      <c r="D4" s="8"/>
      <c r="E4" s="8"/>
      <c r="F4" s="8"/>
      <c r="G4" s="8"/>
    </row>
    <row r="5" spans="1:28" x14ac:dyDescent="0.25">
      <c r="C5" s="9" t="s">
        <v>0</v>
      </c>
      <c r="D5" s="9" t="s">
        <v>1</v>
      </c>
      <c r="E5" s="9" t="s">
        <v>2</v>
      </c>
      <c r="F5" s="9" t="s">
        <v>3</v>
      </c>
      <c r="G5" s="9" t="s">
        <v>4</v>
      </c>
      <c r="H5" s="5" t="s">
        <v>7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5">
      <c r="C6" s="9">
        <v>-18</v>
      </c>
      <c r="D6" s="9">
        <v>-2370</v>
      </c>
      <c r="E6" s="10">
        <f>D6-D7</f>
        <v>-130</v>
      </c>
      <c r="F6" s="9">
        <v>4237</v>
      </c>
      <c r="G6" s="9"/>
    </row>
    <row r="7" spans="1:28" x14ac:dyDescent="0.25">
      <c r="C7" s="9">
        <v>-17</v>
      </c>
      <c r="D7" s="9">
        <v>-2240</v>
      </c>
      <c r="E7" s="10">
        <f t="shared" ref="E7:E41" si="0">D7-D8</f>
        <v>-130</v>
      </c>
      <c r="F7" s="9">
        <v>4237</v>
      </c>
      <c r="G7" s="9"/>
    </row>
    <row r="8" spans="1:28" x14ac:dyDescent="0.25">
      <c r="C8" s="9">
        <v>-16</v>
      </c>
      <c r="D8" s="9">
        <v>-2110</v>
      </c>
      <c r="E8" s="10">
        <f t="shared" si="0"/>
        <v>-135</v>
      </c>
      <c r="F8" s="9">
        <v>4237</v>
      </c>
      <c r="G8" s="9"/>
    </row>
    <row r="9" spans="1:28" x14ac:dyDescent="0.25">
      <c r="C9" s="9">
        <v>-15</v>
      </c>
      <c r="D9" s="9">
        <v>-1975</v>
      </c>
      <c r="E9" s="10">
        <f t="shared" si="0"/>
        <v>-125</v>
      </c>
      <c r="F9" s="9">
        <v>4237</v>
      </c>
      <c r="G9" s="9"/>
    </row>
    <row r="10" spans="1:28" x14ac:dyDescent="0.25">
      <c r="C10" s="9">
        <v>-14</v>
      </c>
      <c r="D10" s="9">
        <v>-1850</v>
      </c>
      <c r="E10" s="10">
        <f t="shared" si="0"/>
        <v>-135</v>
      </c>
      <c r="F10" s="9">
        <v>4237</v>
      </c>
      <c r="G10" s="9"/>
    </row>
    <row r="11" spans="1:28" x14ac:dyDescent="0.25">
      <c r="C11" s="9">
        <v>-13</v>
      </c>
      <c r="D11" s="9">
        <v>-1715</v>
      </c>
      <c r="E11" s="10">
        <f t="shared" si="0"/>
        <v>-125</v>
      </c>
      <c r="F11" s="9">
        <v>4237</v>
      </c>
      <c r="G11" s="9"/>
    </row>
    <row r="12" spans="1:28" x14ac:dyDescent="0.25">
      <c r="C12" s="9">
        <v>-12</v>
      </c>
      <c r="D12" s="9">
        <v>-1590</v>
      </c>
      <c r="E12" s="10">
        <f t="shared" si="0"/>
        <v>-130</v>
      </c>
      <c r="F12" s="9">
        <v>4237</v>
      </c>
      <c r="G12" s="9"/>
    </row>
    <row r="13" spans="1:28" x14ac:dyDescent="0.25">
      <c r="C13" s="9">
        <v>-11</v>
      </c>
      <c r="D13" s="9">
        <v>-1460</v>
      </c>
      <c r="E13" s="10">
        <f t="shared" si="0"/>
        <v>-150</v>
      </c>
      <c r="F13" s="9">
        <v>4176</v>
      </c>
      <c r="G13" s="10">
        <f t="shared" ref="G13:G34" si="1">F13-F14</f>
        <v>151</v>
      </c>
    </row>
    <row r="14" spans="1:28" x14ac:dyDescent="0.25">
      <c r="C14" s="9">
        <v>-10</v>
      </c>
      <c r="D14" s="9">
        <v>-1310</v>
      </c>
      <c r="E14" s="10">
        <f t="shared" si="0"/>
        <v>-120</v>
      </c>
      <c r="F14" s="9">
        <v>4025</v>
      </c>
      <c r="G14" s="10">
        <f t="shared" si="1"/>
        <v>146</v>
      </c>
    </row>
    <row r="15" spans="1:28" x14ac:dyDescent="0.25">
      <c r="C15" s="9">
        <v>-9</v>
      </c>
      <c r="D15" s="9">
        <v>-1190</v>
      </c>
      <c r="E15" s="10">
        <f t="shared" si="0"/>
        <v>-150</v>
      </c>
      <c r="F15" s="9">
        <v>3879</v>
      </c>
      <c r="G15" s="10">
        <f t="shared" si="1"/>
        <v>165</v>
      </c>
    </row>
    <row r="16" spans="1:28" x14ac:dyDescent="0.25">
      <c r="C16" s="9">
        <v>-8</v>
      </c>
      <c r="D16" s="9">
        <v>-1040</v>
      </c>
      <c r="E16" s="10">
        <f t="shared" si="0"/>
        <v>-110</v>
      </c>
      <c r="F16" s="9">
        <v>3714</v>
      </c>
      <c r="G16" s="10">
        <f t="shared" si="1"/>
        <v>141</v>
      </c>
    </row>
    <row r="17" spans="3:7" x14ac:dyDescent="0.25">
      <c r="C17" s="9">
        <v>-7</v>
      </c>
      <c r="D17" s="9">
        <v>-930</v>
      </c>
      <c r="E17" s="10">
        <f t="shared" si="0"/>
        <v>-148</v>
      </c>
      <c r="F17" s="9">
        <v>3573</v>
      </c>
      <c r="G17" s="10">
        <f t="shared" si="1"/>
        <v>162</v>
      </c>
    </row>
    <row r="18" spans="3:7" x14ac:dyDescent="0.25">
      <c r="C18" s="9">
        <v>-6</v>
      </c>
      <c r="D18" s="9">
        <v>-782</v>
      </c>
      <c r="E18" s="10">
        <f t="shared" si="0"/>
        <v>-132</v>
      </c>
      <c r="F18" s="9">
        <v>3411</v>
      </c>
      <c r="G18" s="10">
        <f t="shared" si="1"/>
        <v>154</v>
      </c>
    </row>
    <row r="19" spans="3:7" x14ac:dyDescent="0.25">
      <c r="C19" s="9">
        <v>-5</v>
      </c>
      <c r="D19" s="9">
        <v>-650</v>
      </c>
      <c r="E19" s="10">
        <f t="shared" si="0"/>
        <v>-121</v>
      </c>
      <c r="F19" s="9">
        <v>3257</v>
      </c>
      <c r="G19" s="10">
        <f t="shared" si="1"/>
        <v>146</v>
      </c>
    </row>
    <row r="20" spans="3:7" x14ac:dyDescent="0.25">
      <c r="C20" s="9">
        <v>-4</v>
      </c>
      <c r="D20" s="9">
        <v>-529</v>
      </c>
      <c r="E20" s="10">
        <f t="shared" si="0"/>
        <v>-133</v>
      </c>
      <c r="F20" s="9">
        <v>3111</v>
      </c>
      <c r="G20" s="10">
        <f t="shared" si="1"/>
        <v>152</v>
      </c>
    </row>
    <row r="21" spans="3:7" x14ac:dyDescent="0.25">
      <c r="C21" s="9">
        <v>-3</v>
      </c>
      <c r="D21" s="9">
        <v>-396</v>
      </c>
      <c r="E21" s="10">
        <f t="shared" si="0"/>
        <v>-136</v>
      </c>
      <c r="F21" s="9">
        <v>2959</v>
      </c>
      <c r="G21" s="10">
        <f t="shared" si="1"/>
        <v>157</v>
      </c>
    </row>
    <row r="22" spans="3:7" x14ac:dyDescent="0.25">
      <c r="C22" s="9">
        <v>-2</v>
      </c>
      <c r="D22" s="9">
        <v>-260</v>
      </c>
      <c r="E22" s="10">
        <f t="shared" si="0"/>
        <v>-142</v>
      </c>
      <c r="F22" s="9">
        <v>2802</v>
      </c>
      <c r="G22" s="10">
        <f t="shared" si="1"/>
        <v>148</v>
      </c>
    </row>
    <row r="23" spans="3:7" x14ac:dyDescent="0.25">
      <c r="C23" s="9">
        <v>-1</v>
      </c>
      <c r="D23" s="9">
        <v>-118</v>
      </c>
      <c r="E23" s="10">
        <f t="shared" si="0"/>
        <v>-113</v>
      </c>
      <c r="F23" s="9">
        <v>2654</v>
      </c>
      <c r="G23" s="10">
        <f t="shared" si="1"/>
        <v>164</v>
      </c>
    </row>
    <row r="24" spans="3:7" x14ac:dyDescent="0.25">
      <c r="C24" s="9">
        <v>0</v>
      </c>
      <c r="D24" s="9">
        <v>-5</v>
      </c>
      <c r="E24" s="10">
        <f t="shared" si="0"/>
        <v>-135</v>
      </c>
      <c r="F24" s="9">
        <v>2490</v>
      </c>
      <c r="G24" s="10">
        <f t="shared" si="1"/>
        <v>139</v>
      </c>
    </row>
    <row r="25" spans="3:7" x14ac:dyDescent="0.25">
      <c r="C25" s="9">
        <v>1</v>
      </c>
      <c r="D25" s="9">
        <v>130</v>
      </c>
      <c r="E25" s="10">
        <f t="shared" si="0"/>
        <v>-135</v>
      </c>
      <c r="F25" s="9">
        <v>2351</v>
      </c>
      <c r="G25" s="10">
        <f t="shared" si="1"/>
        <v>162</v>
      </c>
    </row>
    <row r="26" spans="3:7" x14ac:dyDescent="0.25">
      <c r="C26" s="9">
        <v>2</v>
      </c>
      <c r="D26" s="9">
        <v>265</v>
      </c>
      <c r="E26" s="10">
        <f t="shared" si="0"/>
        <v>-145</v>
      </c>
      <c r="F26" s="9">
        <v>2189</v>
      </c>
      <c r="G26" s="10">
        <f t="shared" si="1"/>
        <v>145</v>
      </c>
    </row>
    <row r="27" spans="3:7" x14ac:dyDescent="0.25">
      <c r="C27" s="9">
        <v>3</v>
      </c>
      <c r="D27" s="9">
        <v>410</v>
      </c>
      <c r="E27" s="10">
        <f t="shared" si="0"/>
        <v>-125</v>
      </c>
      <c r="F27" s="9">
        <v>2044</v>
      </c>
      <c r="G27" s="10">
        <f t="shared" si="1"/>
        <v>159</v>
      </c>
    </row>
    <row r="28" spans="3:7" x14ac:dyDescent="0.25">
      <c r="C28" s="9">
        <v>4</v>
      </c>
      <c r="D28" s="9">
        <v>535</v>
      </c>
      <c r="E28" s="10">
        <f t="shared" si="0"/>
        <v>-129</v>
      </c>
      <c r="F28" s="9">
        <v>1885</v>
      </c>
      <c r="G28" s="10">
        <f t="shared" si="1"/>
        <v>143</v>
      </c>
    </row>
    <row r="29" spans="3:7" x14ac:dyDescent="0.25">
      <c r="C29" s="9">
        <v>5</v>
      </c>
      <c r="D29" s="9">
        <v>664</v>
      </c>
      <c r="E29" s="10">
        <f t="shared" si="0"/>
        <v>-126</v>
      </c>
      <c r="F29" s="9">
        <v>1742</v>
      </c>
      <c r="G29" s="10">
        <f t="shared" si="1"/>
        <v>155</v>
      </c>
    </row>
    <row r="30" spans="3:7" x14ac:dyDescent="0.25">
      <c r="C30" s="9">
        <v>6</v>
      </c>
      <c r="D30" s="9">
        <v>790</v>
      </c>
      <c r="E30" s="10">
        <f t="shared" si="0"/>
        <v>-133</v>
      </c>
      <c r="F30" s="9">
        <v>1587</v>
      </c>
      <c r="G30" s="10">
        <f t="shared" si="1"/>
        <v>152</v>
      </c>
    </row>
    <row r="31" spans="3:7" x14ac:dyDescent="0.25">
      <c r="C31" s="9">
        <v>7</v>
      </c>
      <c r="D31" s="9">
        <v>923</v>
      </c>
      <c r="E31" s="10">
        <f t="shared" si="0"/>
        <v>-134</v>
      </c>
      <c r="F31" s="9">
        <v>1435</v>
      </c>
      <c r="G31" s="10">
        <f t="shared" si="1"/>
        <v>155</v>
      </c>
    </row>
    <row r="32" spans="3:7" x14ac:dyDescent="0.25">
      <c r="C32" s="9">
        <v>8</v>
      </c>
      <c r="D32" s="9">
        <v>1057</v>
      </c>
      <c r="E32" s="10">
        <f t="shared" si="0"/>
        <v>-123</v>
      </c>
      <c r="F32" s="9">
        <v>1280</v>
      </c>
      <c r="G32" s="10">
        <f t="shared" si="1"/>
        <v>157</v>
      </c>
    </row>
    <row r="33" spans="3:28" x14ac:dyDescent="0.25">
      <c r="C33" s="9">
        <v>9</v>
      </c>
      <c r="D33" s="9">
        <v>1180</v>
      </c>
      <c r="E33" s="10">
        <f t="shared" si="0"/>
        <v>-144</v>
      </c>
      <c r="F33" s="9">
        <v>1123</v>
      </c>
      <c r="G33" s="10">
        <f t="shared" si="1"/>
        <v>153</v>
      </c>
    </row>
    <row r="34" spans="3:28" x14ac:dyDescent="0.25">
      <c r="C34" s="9">
        <v>10</v>
      </c>
      <c r="D34" s="9">
        <v>1324</v>
      </c>
      <c r="E34" s="10">
        <f t="shared" si="0"/>
        <v>-121</v>
      </c>
      <c r="F34" s="9">
        <v>970</v>
      </c>
      <c r="G34" s="10">
        <f t="shared" si="1"/>
        <v>140</v>
      </c>
    </row>
    <row r="35" spans="3:28" x14ac:dyDescent="0.25">
      <c r="C35" s="9">
        <v>11</v>
      </c>
      <c r="D35" s="9">
        <v>1445</v>
      </c>
      <c r="E35" s="10">
        <f t="shared" si="0"/>
        <v>-143</v>
      </c>
      <c r="F35" s="9">
        <v>830</v>
      </c>
      <c r="G35" s="9"/>
    </row>
    <row r="36" spans="3:28" x14ac:dyDescent="0.25">
      <c r="C36" s="9">
        <v>12</v>
      </c>
      <c r="D36" s="9">
        <v>1588</v>
      </c>
      <c r="E36" s="10">
        <f t="shared" si="0"/>
        <v>-124</v>
      </c>
      <c r="F36" s="9">
        <v>800</v>
      </c>
      <c r="G36" s="9"/>
    </row>
    <row r="37" spans="3:28" x14ac:dyDescent="0.25">
      <c r="C37" s="9">
        <v>13</v>
      </c>
      <c r="D37" s="9">
        <v>1712</v>
      </c>
      <c r="E37" s="10">
        <f t="shared" si="0"/>
        <v>-138</v>
      </c>
      <c r="F37" s="9">
        <v>800</v>
      </c>
      <c r="G37" s="9"/>
    </row>
    <row r="38" spans="3:28" x14ac:dyDescent="0.25">
      <c r="C38" s="9">
        <v>14</v>
      </c>
      <c r="D38" s="9">
        <v>1850</v>
      </c>
      <c r="E38" s="10">
        <f t="shared" si="0"/>
        <v>-127</v>
      </c>
      <c r="F38" s="9">
        <v>800</v>
      </c>
      <c r="G38" s="9"/>
    </row>
    <row r="39" spans="3:28" x14ac:dyDescent="0.25">
      <c r="C39" s="9">
        <v>15</v>
      </c>
      <c r="D39" s="9">
        <v>1977</v>
      </c>
      <c r="E39" s="10">
        <f t="shared" si="0"/>
        <v>-128</v>
      </c>
      <c r="F39" s="9">
        <v>800</v>
      </c>
      <c r="G39" s="9"/>
    </row>
    <row r="40" spans="3:28" x14ac:dyDescent="0.25">
      <c r="C40" s="9">
        <v>16</v>
      </c>
      <c r="D40" s="9">
        <v>2105</v>
      </c>
      <c r="E40" s="10">
        <f t="shared" si="0"/>
        <v>-130</v>
      </c>
      <c r="F40" s="9">
        <v>800</v>
      </c>
      <c r="G40" s="9"/>
    </row>
    <row r="41" spans="3:28" x14ac:dyDescent="0.25">
      <c r="C41" s="9">
        <v>17</v>
      </c>
      <c r="D41" s="9">
        <v>2235</v>
      </c>
      <c r="E41" s="10">
        <f t="shared" si="0"/>
        <v>-135</v>
      </c>
      <c r="F41" s="9">
        <v>800</v>
      </c>
      <c r="G41" s="9"/>
    </row>
    <row r="42" spans="3:28" x14ac:dyDescent="0.25">
      <c r="C42" s="9">
        <v>18</v>
      </c>
      <c r="D42" s="9">
        <v>2370</v>
      </c>
      <c r="E42" s="9"/>
      <c r="F42" s="9">
        <v>800</v>
      </c>
      <c r="G42" s="9"/>
    </row>
    <row r="45" spans="3:28" x14ac:dyDescent="0.25">
      <c r="H45" s="5" t="s">
        <v>8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</sheetData>
  <mergeCells count="6">
    <mergeCell ref="C4:G4"/>
    <mergeCell ref="H5:AB5"/>
    <mergeCell ref="H45:AB45"/>
    <mergeCell ref="A1:U1"/>
    <mergeCell ref="A2:U2"/>
    <mergeCell ref="A3: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результыты измерений</vt:lpstr>
      <vt:lpstr>Здесь только целые значения мВ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2026-03-21T19:13:18Z</dcterms:modified>
</cp:coreProperties>
</file>