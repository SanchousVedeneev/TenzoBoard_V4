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0A7AF2AE-B8C8-4DF2-A9EA-EFFFE145C6E6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Здесь только целые значения мВ " sheetId="2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2" l="1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6" i="2"/>
</calcChain>
</file>

<file path=xl/sharedStrings.xml><?xml version="1.0" encoding="utf-8"?>
<sst xmlns="http://schemas.openxmlformats.org/spreadsheetml/2006/main" count="11" uniqueCount="11">
  <si>
    <t>На вход АЦП, мВ</t>
  </si>
  <si>
    <t>АЦП 1231</t>
  </si>
  <si>
    <t>Дельта АЦП231</t>
  </si>
  <si>
    <t>АЦП 1251</t>
  </si>
  <si>
    <t>Дельта АЦП 1251</t>
  </si>
  <si>
    <t>Здесь резултаты с целыми значениями мВ</t>
  </si>
  <si>
    <t>Значения АЦП микросхемы 1251 шумели +-1 условных едениц</t>
  </si>
  <si>
    <t>Измерения производились без подключения тензодатчиков, в схеме платы заместно резистора R1, 10кОм, поставили переменный резистор 20кОм, и с помощью него выстовляли нужное нам нам напряжение, мВ</t>
  </si>
  <si>
    <t xml:space="preserve">ADS1251: частота преобразования 80ppm, 5 последовательных преобразований, берем результаты 5 преобразования, A_filter = 10, order = 5; </t>
  </si>
  <si>
    <t xml:space="preserve">ADS1231: частота преобразования 80ppm, 5 последовательных преобразований, берем результаты 5 преобразования, A_filter = 10, order = 5; </t>
  </si>
  <si>
    <t>Значения АЦП микросхемы 1231 шумели +-1 условных едениц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</si>
</sst>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Alignment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АЦП</a:t>
            </a:r>
            <a:r>
              <a:rPr lang="ru-RU" baseline="0"/>
              <a:t> 1231</a:t>
            </a:r>
            <a:endParaRPr lang="ru-RU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cat>
            <c:numRef>
              <c:f>'Здесь только целые значения мВ '!$D$6:$D$42</c:f>
              <c:numCache>
                <c:formatCode>General</c:formatCode>
                <c:ptCount val="37"/>
                <c:pt idx="0">
                  <c:v>-2377</c:v>
                </c:pt>
                <c:pt idx="1">
                  <c:v>-2249</c:v>
                </c:pt>
                <c:pt idx="2">
                  <c:v>-2115</c:v>
                </c:pt>
                <c:pt idx="3">
                  <c:v>-1983</c:v>
                </c:pt>
                <c:pt idx="4">
                  <c:v>-1852</c:v>
                </c:pt>
                <c:pt idx="5">
                  <c:v>-1712</c:v>
                </c:pt>
                <c:pt idx="6">
                  <c:v>-1590</c:v>
                </c:pt>
                <c:pt idx="7">
                  <c:v>-1456</c:v>
                </c:pt>
                <c:pt idx="8">
                  <c:v>-1318</c:v>
                </c:pt>
                <c:pt idx="9">
                  <c:v>-1184</c:v>
                </c:pt>
                <c:pt idx="10">
                  <c:v>-1058</c:v>
                </c:pt>
                <c:pt idx="11">
                  <c:v>-919</c:v>
                </c:pt>
                <c:pt idx="12">
                  <c:v>-790</c:v>
                </c:pt>
                <c:pt idx="13">
                  <c:v>-660</c:v>
                </c:pt>
                <c:pt idx="14">
                  <c:v>-521</c:v>
                </c:pt>
                <c:pt idx="15">
                  <c:v>-391</c:v>
                </c:pt>
                <c:pt idx="16">
                  <c:v>-256</c:v>
                </c:pt>
                <c:pt idx="17">
                  <c:v>-135</c:v>
                </c:pt>
                <c:pt idx="18">
                  <c:v>0</c:v>
                </c:pt>
                <c:pt idx="19">
                  <c:v>128</c:v>
                </c:pt>
                <c:pt idx="20">
                  <c:v>266</c:v>
                </c:pt>
                <c:pt idx="21">
                  <c:v>397</c:v>
                </c:pt>
                <c:pt idx="22">
                  <c:v>535</c:v>
                </c:pt>
                <c:pt idx="23">
                  <c:v>662</c:v>
                </c:pt>
                <c:pt idx="24">
                  <c:v>795</c:v>
                </c:pt>
                <c:pt idx="25">
                  <c:v>926</c:v>
                </c:pt>
                <c:pt idx="26">
                  <c:v>1060</c:v>
                </c:pt>
                <c:pt idx="27">
                  <c:v>1193</c:v>
                </c:pt>
                <c:pt idx="28">
                  <c:v>1322</c:v>
                </c:pt>
                <c:pt idx="29">
                  <c:v>1453</c:v>
                </c:pt>
                <c:pt idx="30">
                  <c:v>1593</c:v>
                </c:pt>
                <c:pt idx="31">
                  <c:v>1717</c:v>
                </c:pt>
                <c:pt idx="32">
                  <c:v>1850</c:v>
                </c:pt>
                <c:pt idx="33">
                  <c:v>1981</c:v>
                </c:pt>
                <c:pt idx="34">
                  <c:v>2111</c:v>
                </c:pt>
                <c:pt idx="35">
                  <c:v>2246</c:v>
                </c:pt>
                <c:pt idx="36">
                  <c:v>2382</c:v>
                </c:pt>
              </c:numCache>
            </c:numRef>
          </c:cat>
          <c:val>
            <c:numRef>
              <c:f>'Здесь только целые значения мВ '!$C$6:$C$42</c:f>
              <c:numCache>
                <c:formatCode>General</c:formatCode>
                <c:ptCount val="37"/>
                <c:pt idx="0">
                  <c:v>-18</c:v>
                </c:pt>
                <c:pt idx="1">
                  <c:v>-17</c:v>
                </c:pt>
                <c:pt idx="2">
                  <c:v>-16</c:v>
                </c:pt>
                <c:pt idx="3">
                  <c:v>-15</c:v>
                </c:pt>
                <c:pt idx="4">
                  <c:v>-14</c:v>
                </c:pt>
                <c:pt idx="5">
                  <c:v>-13</c:v>
                </c:pt>
                <c:pt idx="6">
                  <c:v>-12</c:v>
                </c:pt>
                <c:pt idx="7">
                  <c:v>-11</c:v>
                </c:pt>
                <c:pt idx="8">
                  <c:v>-10</c:v>
                </c:pt>
                <c:pt idx="9">
                  <c:v>-9</c:v>
                </c:pt>
                <c:pt idx="10">
                  <c:v>-8</c:v>
                </c:pt>
                <c:pt idx="11">
                  <c:v>-7</c:v>
                </c:pt>
                <c:pt idx="12">
                  <c:v>-6</c:v>
                </c:pt>
                <c:pt idx="13">
                  <c:v>-5</c:v>
                </c:pt>
                <c:pt idx="14">
                  <c:v>-4</c:v>
                </c:pt>
                <c:pt idx="15">
                  <c:v>-3</c:v>
                </c:pt>
                <c:pt idx="16">
                  <c:v>-2</c:v>
                </c:pt>
                <c:pt idx="17">
                  <c:v>-1</c:v>
                </c:pt>
                <c:pt idx="18">
                  <c:v>0</c:v>
                </c:pt>
                <c:pt idx="19">
                  <c:v>1</c:v>
                </c:pt>
                <c:pt idx="20">
                  <c:v>2</c:v>
                </c:pt>
                <c:pt idx="21">
                  <c:v>3</c:v>
                </c:pt>
                <c:pt idx="22">
                  <c:v>4</c:v>
                </c:pt>
                <c:pt idx="23">
                  <c:v>5</c:v>
                </c:pt>
                <c:pt idx="24">
                  <c:v>6</c:v>
                </c:pt>
                <c:pt idx="25">
                  <c:v>7</c:v>
                </c:pt>
                <c:pt idx="26">
                  <c:v>8</c:v>
                </c:pt>
                <c:pt idx="27">
                  <c:v>9</c:v>
                </c:pt>
                <c:pt idx="28">
                  <c:v>10</c:v>
                </c:pt>
                <c:pt idx="29">
                  <c:v>11</c:v>
                </c:pt>
                <c:pt idx="30">
                  <c:v>12</c:v>
                </c:pt>
                <c:pt idx="31">
                  <c:v>13</c:v>
                </c:pt>
                <c:pt idx="32">
                  <c:v>14</c:v>
                </c:pt>
                <c:pt idx="33">
                  <c:v>15</c:v>
                </c:pt>
                <c:pt idx="34">
                  <c:v>16</c:v>
                </c:pt>
                <c:pt idx="35">
                  <c:v>17</c:v>
                </c:pt>
                <c:pt idx="36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08-4C8B-8F11-ED3F003DD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4365535"/>
        <c:axId val="246378303"/>
      </c:lineChart>
      <c:catAx>
        <c:axId val="2124365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6378303"/>
        <c:crosses val="autoZero"/>
        <c:auto val="1"/>
        <c:lblAlgn val="ctr"/>
        <c:lblOffset val="100"/>
        <c:noMultiLvlLbl val="0"/>
      </c:catAx>
      <c:valAx>
        <c:axId val="24637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4365535"/>
        <c:crosses val="autoZero"/>
        <c:crossBetween val="between"/>
        <c:majorUnit val="1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АЦП</a:t>
            </a:r>
            <a:r>
              <a:rPr lang="ru-RU" baseline="0"/>
              <a:t> 1251</a:t>
            </a:r>
            <a:endParaRPr lang="ru-RU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cat>
            <c:numRef>
              <c:f>'Здесь только целые значения мВ '!$F$14:$F$34</c:f>
              <c:numCache>
                <c:formatCode>General</c:formatCode>
                <c:ptCount val="21"/>
                <c:pt idx="0">
                  <c:v>4020</c:v>
                </c:pt>
                <c:pt idx="1">
                  <c:v>3865</c:v>
                </c:pt>
                <c:pt idx="2">
                  <c:v>3720</c:v>
                </c:pt>
                <c:pt idx="3">
                  <c:v>3560</c:v>
                </c:pt>
                <c:pt idx="4">
                  <c:v>3410</c:v>
                </c:pt>
                <c:pt idx="5">
                  <c:v>3260</c:v>
                </c:pt>
                <c:pt idx="6">
                  <c:v>3102</c:v>
                </c:pt>
                <c:pt idx="7">
                  <c:v>2951</c:v>
                </c:pt>
                <c:pt idx="8">
                  <c:v>2795</c:v>
                </c:pt>
                <c:pt idx="9">
                  <c:v>2655</c:v>
                </c:pt>
                <c:pt idx="10">
                  <c:v>2500</c:v>
                </c:pt>
                <c:pt idx="11">
                  <c:v>2353</c:v>
                </c:pt>
                <c:pt idx="12">
                  <c:v>2192</c:v>
                </c:pt>
                <c:pt idx="13">
                  <c:v>2042</c:v>
                </c:pt>
                <c:pt idx="14">
                  <c:v>1882</c:v>
                </c:pt>
                <c:pt idx="15">
                  <c:v>1735</c:v>
                </c:pt>
                <c:pt idx="16">
                  <c:v>1583</c:v>
                </c:pt>
                <c:pt idx="17">
                  <c:v>1431</c:v>
                </c:pt>
                <c:pt idx="18">
                  <c:v>1275</c:v>
                </c:pt>
                <c:pt idx="19">
                  <c:v>1123</c:v>
                </c:pt>
                <c:pt idx="20">
                  <c:v>974</c:v>
                </c:pt>
              </c:numCache>
            </c:numRef>
          </c:cat>
          <c:val>
            <c:numRef>
              <c:f>'Здесь только целые значения мВ '!$C$14:$C$34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31-4CE3-95D5-64F7E2A6E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4365535"/>
        <c:axId val="246378303"/>
      </c:lineChart>
      <c:catAx>
        <c:axId val="2124365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6378303"/>
        <c:crosses val="autoZero"/>
        <c:auto val="1"/>
        <c:lblAlgn val="ctr"/>
        <c:lblOffset val="100"/>
        <c:noMultiLvlLbl val="0"/>
      </c:catAx>
      <c:valAx>
        <c:axId val="24637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4365535"/>
        <c:crosses val="autoZero"/>
        <c:crossBetween val="between"/>
        <c:majorUnit val="1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27214</xdr:colOff>
      <xdr:row>5</xdr:row>
      <xdr:rowOff>40821</xdr:rowOff>
    </xdr:from>
    <xdr:to>
      <xdr:col>27</xdr:col>
      <xdr:colOff>420383</xdr:colOff>
      <xdr:row>42</xdr:row>
      <xdr:rowOff>31977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FAABCEF-BC49-4D37-916A-2C672051C1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27214</xdr:colOff>
      <xdr:row>45</xdr:row>
      <xdr:rowOff>40821</xdr:rowOff>
    </xdr:from>
    <xdr:to>
      <xdr:col>27</xdr:col>
      <xdr:colOff>420383</xdr:colOff>
      <xdr:row>82</xdr:row>
      <xdr:rowOff>31977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D191BC06-F08D-4932-AD9D-25A48EF104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12363-45C1-4E28-9403-04FA9B52406A}">
  <dimension ref="A1:AB45"/>
  <sheetViews>
    <sheetView tabSelected="1" zoomScale="70" zoomScaleNormal="70" workbookViewId="0">
      <selection activeCell="AE51" sqref="AE51"/>
    </sheetView>
  </sheetViews>
  <sheetFormatPr defaultRowHeight="15" x14ac:dyDescent="0.25"/>
  <cols>
    <col min="3" max="3" width="16.85546875" customWidth="1"/>
    <col min="4" max="4" width="14.140625" customWidth="1"/>
    <col min="5" max="5" width="14.5703125" customWidth="1"/>
    <col min="6" max="6" width="13.7109375" customWidth="1"/>
    <col min="7" max="7" width="16.28515625" customWidth="1"/>
  </cols>
  <sheetData>
    <row r="1" spans="1:28" x14ac:dyDescent="0.25">
      <c r="A1" s="6" t="s">
        <v>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8" x14ac:dyDescent="0.25">
      <c r="A2" s="6" t="s">
        <v>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1"/>
      <c r="W2" s="1"/>
      <c r="X2" s="1"/>
      <c r="Y2" s="1"/>
      <c r="Z2" s="1"/>
    </row>
    <row r="3" spans="1:28" x14ac:dyDescent="0.25">
      <c r="A3" s="6" t="s">
        <v>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8" x14ac:dyDescent="0.25">
      <c r="C4" s="4" t="s">
        <v>5</v>
      </c>
      <c r="D4" s="4"/>
      <c r="E4" s="4"/>
      <c r="F4" s="4"/>
      <c r="G4" s="4"/>
    </row>
    <row r="5" spans="1:28" x14ac:dyDescent="0.25">
      <c r="C5" s="2" t="s">
        <v>0</v>
      </c>
      <c r="D5" s="2" t="s">
        <v>1</v>
      </c>
      <c r="E5" s="2" t="s">
        <v>2</v>
      </c>
      <c r="F5" s="2" t="s">
        <v>3</v>
      </c>
      <c r="G5" s="2" t="s">
        <v>4</v>
      </c>
      <c r="H5" s="5" t="s">
        <v>10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x14ac:dyDescent="0.25">
      <c r="C6" s="2">
        <v>-18</v>
      </c>
      <c r="D6" s="2">
        <v>-2377</v>
      </c>
      <c r="E6" s="3">
        <f>D6-D7</f>
        <v>-128</v>
      </c>
      <c r="F6" s="2">
        <v>4237</v>
      </c>
      <c r="G6" s="2"/>
    </row>
    <row r="7" spans="1:28" x14ac:dyDescent="0.25">
      <c r="C7" s="2">
        <v>-17</v>
      </c>
      <c r="D7" s="2">
        <v>-2249</v>
      </c>
      <c r="E7" s="3">
        <f t="shared" ref="E7:E41" si="0">D7-D8</f>
        <v>-134</v>
      </c>
      <c r="F7" s="2">
        <v>4237</v>
      </c>
      <c r="G7" s="2"/>
    </row>
    <row r="8" spans="1:28" x14ac:dyDescent="0.25">
      <c r="C8" s="2">
        <v>-16</v>
      </c>
      <c r="D8" s="2">
        <v>-2115</v>
      </c>
      <c r="E8" s="3">
        <f t="shared" si="0"/>
        <v>-132</v>
      </c>
      <c r="F8" s="2">
        <v>4237</v>
      </c>
      <c r="G8" s="2"/>
    </row>
    <row r="9" spans="1:28" x14ac:dyDescent="0.25">
      <c r="C9" s="2">
        <v>-15</v>
      </c>
      <c r="D9" s="2">
        <v>-1983</v>
      </c>
      <c r="E9" s="3">
        <f t="shared" si="0"/>
        <v>-131</v>
      </c>
      <c r="F9" s="2">
        <v>4237</v>
      </c>
      <c r="G9" s="2"/>
    </row>
    <row r="10" spans="1:28" x14ac:dyDescent="0.25">
      <c r="C10" s="2">
        <v>-14</v>
      </c>
      <c r="D10" s="2">
        <v>-1852</v>
      </c>
      <c r="E10" s="3">
        <f t="shared" si="0"/>
        <v>-140</v>
      </c>
      <c r="F10" s="2">
        <v>4237</v>
      </c>
      <c r="G10" s="2"/>
    </row>
    <row r="11" spans="1:28" x14ac:dyDescent="0.25">
      <c r="C11" s="2">
        <v>-13</v>
      </c>
      <c r="D11" s="2">
        <v>-1712</v>
      </c>
      <c r="E11" s="3">
        <f t="shared" si="0"/>
        <v>-122</v>
      </c>
      <c r="F11" s="2">
        <v>4237</v>
      </c>
      <c r="G11" s="2"/>
    </row>
    <row r="12" spans="1:28" x14ac:dyDescent="0.25">
      <c r="C12" s="2">
        <v>-12</v>
      </c>
      <c r="D12" s="2">
        <v>-1590</v>
      </c>
      <c r="E12" s="3">
        <f t="shared" si="0"/>
        <v>-134</v>
      </c>
      <c r="F12" s="2">
        <v>4237</v>
      </c>
      <c r="G12" s="2"/>
    </row>
    <row r="13" spans="1:28" x14ac:dyDescent="0.25">
      <c r="C13" s="2">
        <v>-11</v>
      </c>
      <c r="D13" s="2">
        <v>-1456</v>
      </c>
      <c r="E13" s="3">
        <f t="shared" si="0"/>
        <v>-138</v>
      </c>
      <c r="F13" s="2">
        <v>4180</v>
      </c>
      <c r="G13" s="3">
        <f t="shared" ref="G13:G34" si="1">F13-F14</f>
        <v>160</v>
      </c>
    </row>
    <row r="14" spans="1:28" x14ac:dyDescent="0.25">
      <c r="C14" s="2">
        <v>-10</v>
      </c>
      <c r="D14" s="2">
        <v>-1318</v>
      </c>
      <c r="E14" s="3">
        <f t="shared" si="0"/>
        <v>-134</v>
      </c>
      <c r="F14" s="2">
        <v>4020</v>
      </c>
      <c r="G14" s="3">
        <f t="shared" si="1"/>
        <v>155</v>
      </c>
    </row>
    <row r="15" spans="1:28" x14ac:dyDescent="0.25">
      <c r="C15" s="2">
        <v>-9</v>
      </c>
      <c r="D15" s="2">
        <v>-1184</v>
      </c>
      <c r="E15" s="3">
        <f t="shared" si="0"/>
        <v>-126</v>
      </c>
      <c r="F15" s="2">
        <v>3865</v>
      </c>
      <c r="G15" s="3">
        <f t="shared" si="1"/>
        <v>145</v>
      </c>
    </row>
    <row r="16" spans="1:28" x14ac:dyDescent="0.25">
      <c r="C16" s="2">
        <v>-8</v>
      </c>
      <c r="D16" s="2">
        <v>-1058</v>
      </c>
      <c r="E16" s="3">
        <f t="shared" si="0"/>
        <v>-139</v>
      </c>
      <c r="F16" s="2">
        <v>3720</v>
      </c>
      <c r="G16" s="3">
        <f t="shared" si="1"/>
        <v>160</v>
      </c>
    </row>
    <row r="17" spans="3:7" x14ac:dyDescent="0.25">
      <c r="C17" s="2">
        <v>-7</v>
      </c>
      <c r="D17" s="2">
        <v>-919</v>
      </c>
      <c r="E17" s="3">
        <f t="shared" si="0"/>
        <v>-129</v>
      </c>
      <c r="F17" s="2">
        <v>3560</v>
      </c>
      <c r="G17" s="3">
        <f t="shared" si="1"/>
        <v>150</v>
      </c>
    </row>
    <row r="18" spans="3:7" x14ac:dyDescent="0.25">
      <c r="C18" s="2">
        <v>-6</v>
      </c>
      <c r="D18" s="2">
        <v>-790</v>
      </c>
      <c r="E18" s="3">
        <f t="shared" si="0"/>
        <v>-130</v>
      </c>
      <c r="F18" s="2">
        <v>3410</v>
      </c>
      <c r="G18" s="3">
        <f t="shared" si="1"/>
        <v>150</v>
      </c>
    </row>
    <row r="19" spans="3:7" x14ac:dyDescent="0.25">
      <c r="C19" s="2">
        <v>-5</v>
      </c>
      <c r="D19" s="2">
        <v>-660</v>
      </c>
      <c r="E19" s="3">
        <f t="shared" si="0"/>
        <v>-139</v>
      </c>
      <c r="F19" s="2">
        <v>3260</v>
      </c>
      <c r="G19" s="3">
        <f t="shared" si="1"/>
        <v>158</v>
      </c>
    </row>
    <row r="20" spans="3:7" x14ac:dyDescent="0.25">
      <c r="C20" s="2">
        <v>-4</v>
      </c>
      <c r="D20" s="2">
        <v>-521</v>
      </c>
      <c r="E20" s="3">
        <f t="shared" si="0"/>
        <v>-130</v>
      </c>
      <c r="F20" s="2">
        <v>3102</v>
      </c>
      <c r="G20" s="3">
        <f t="shared" si="1"/>
        <v>151</v>
      </c>
    </row>
    <row r="21" spans="3:7" x14ac:dyDescent="0.25">
      <c r="C21" s="2">
        <v>-3</v>
      </c>
      <c r="D21" s="2">
        <v>-391</v>
      </c>
      <c r="E21" s="3">
        <f t="shared" si="0"/>
        <v>-135</v>
      </c>
      <c r="F21" s="2">
        <v>2951</v>
      </c>
      <c r="G21" s="3">
        <f t="shared" si="1"/>
        <v>156</v>
      </c>
    </row>
    <row r="22" spans="3:7" x14ac:dyDescent="0.25">
      <c r="C22" s="2">
        <v>-2</v>
      </c>
      <c r="D22" s="2">
        <v>-256</v>
      </c>
      <c r="E22" s="3">
        <f t="shared" si="0"/>
        <v>-121</v>
      </c>
      <c r="F22" s="2">
        <v>2795</v>
      </c>
      <c r="G22" s="3">
        <f t="shared" si="1"/>
        <v>140</v>
      </c>
    </row>
    <row r="23" spans="3:7" x14ac:dyDescent="0.25">
      <c r="C23" s="2">
        <v>-1</v>
      </c>
      <c r="D23" s="2">
        <v>-135</v>
      </c>
      <c r="E23" s="3">
        <f t="shared" si="0"/>
        <v>-135</v>
      </c>
      <c r="F23" s="2">
        <v>2655</v>
      </c>
      <c r="G23" s="3">
        <f t="shared" si="1"/>
        <v>155</v>
      </c>
    </row>
    <row r="24" spans="3:7" x14ac:dyDescent="0.25">
      <c r="C24" s="2">
        <v>0</v>
      </c>
      <c r="D24" s="2">
        <v>0</v>
      </c>
      <c r="E24" s="3">
        <f t="shared" si="0"/>
        <v>-128</v>
      </c>
      <c r="F24" s="2">
        <v>2500</v>
      </c>
      <c r="G24" s="3">
        <f t="shared" si="1"/>
        <v>147</v>
      </c>
    </row>
    <row r="25" spans="3:7" x14ac:dyDescent="0.25">
      <c r="C25" s="2">
        <v>1</v>
      </c>
      <c r="D25" s="2">
        <v>128</v>
      </c>
      <c r="E25" s="3">
        <f t="shared" si="0"/>
        <v>-138</v>
      </c>
      <c r="F25" s="2">
        <v>2353</v>
      </c>
      <c r="G25" s="3">
        <f t="shared" si="1"/>
        <v>161</v>
      </c>
    </row>
    <row r="26" spans="3:7" x14ac:dyDescent="0.25">
      <c r="C26" s="2">
        <v>2</v>
      </c>
      <c r="D26" s="2">
        <v>266</v>
      </c>
      <c r="E26" s="3">
        <f t="shared" si="0"/>
        <v>-131</v>
      </c>
      <c r="F26" s="2">
        <v>2192</v>
      </c>
      <c r="G26" s="3">
        <f t="shared" si="1"/>
        <v>150</v>
      </c>
    </row>
    <row r="27" spans="3:7" x14ac:dyDescent="0.25">
      <c r="C27" s="2">
        <v>3</v>
      </c>
      <c r="D27" s="2">
        <v>397</v>
      </c>
      <c r="E27" s="3">
        <f t="shared" si="0"/>
        <v>-138</v>
      </c>
      <c r="F27" s="2">
        <v>2042</v>
      </c>
      <c r="G27" s="3">
        <f t="shared" si="1"/>
        <v>160</v>
      </c>
    </row>
    <row r="28" spans="3:7" x14ac:dyDescent="0.25">
      <c r="C28" s="2">
        <v>4</v>
      </c>
      <c r="D28" s="2">
        <v>535</v>
      </c>
      <c r="E28" s="3">
        <f t="shared" si="0"/>
        <v>-127</v>
      </c>
      <c r="F28" s="2">
        <v>1882</v>
      </c>
      <c r="G28" s="3">
        <f t="shared" si="1"/>
        <v>147</v>
      </c>
    </row>
    <row r="29" spans="3:7" x14ac:dyDescent="0.25">
      <c r="C29" s="2">
        <v>5</v>
      </c>
      <c r="D29" s="2">
        <v>662</v>
      </c>
      <c r="E29" s="3">
        <f t="shared" si="0"/>
        <v>-133</v>
      </c>
      <c r="F29" s="2">
        <v>1735</v>
      </c>
      <c r="G29" s="3">
        <f t="shared" si="1"/>
        <v>152</v>
      </c>
    </row>
    <row r="30" spans="3:7" x14ac:dyDescent="0.25">
      <c r="C30" s="2">
        <v>6</v>
      </c>
      <c r="D30" s="2">
        <v>795</v>
      </c>
      <c r="E30" s="3">
        <f t="shared" si="0"/>
        <v>-131</v>
      </c>
      <c r="F30" s="2">
        <v>1583</v>
      </c>
      <c r="G30" s="3">
        <f t="shared" si="1"/>
        <v>152</v>
      </c>
    </row>
    <row r="31" spans="3:7" x14ac:dyDescent="0.25">
      <c r="C31" s="2">
        <v>7</v>
      </c>
      <c r="D31" s="2">
        <v>926</v>
      </c>
      <c r="E31" s="3">
        <f t="shared" si="0"/>
        <v>-134</v>
      </c>
      <c r="F31" s="2">
        <v>1431</v>
      </c>
      <c r="G31" s="3">
        <f t="shared" si="1"/>
        <v>156</v>
      </c>
    </row>
    <row r="32" spans="3:7" x14ac:dyDescent="0.25">
      <c r="C32" s="2">
        <v>8</v>
      </c>
      <c r="D32" s="2">
        <v>1060</v>
      </c>
      <c r="E32" s="3">
        <f t="shared" si="0"/>
        <v>-133</v>
      </c>
      <c r="F32" s="2">
        <v>1275</v>
      </c>
      <c r="G32" s="3">
        <f t="shared" si="1"/>
        <v>152</v>
      </c>
    </row>
    <row r="33" spans="3:28" x14ac:dyDescent="0.25">
      <c r="C33" s="2">
        <v>9</v>
      </c>
      <c r="D33" s="2">
        <v>1193</v>
      </c>
      <c r="E33" s="3">
        <f t="shared" si="0"/>
        <v>-129</v>
      </c>
      <c r="F33" s="2">
        <v>1123</v>
      </c>
      <c r="G33" s="3">
        <f t="shared" si="1"/>
        <v>149</v>
      </c>
    </row>
    <row r="34" spans="3:28" x14ac:dyDescent="0.25">
      <c r="C34" s="2">
        <v>10</v>
      </c>
      <c r="D34" s="2">
        <v>1322</v>
      </c>
      <c r="E34" s="3">
        <f t="shared" si="0"/>
        <v>-131</v>
      </c>
      <c r="F34" s="2">
        <v>974</v>
      </c>
      <c r="G34" s="3">
        <f t="shared" si="1"/>
        <v>153</v>
      </c>
    </row>
    <row r="35" spans="3:28" x14ac:dyDescent="0.25">
      <c r="C35" s="2">
        <v>11</v>
      </c>
      <c r="D35" s="2">
        <v>1453</v>
      </c>
      <c r="E35" s="3">
        <f t="shared" si="0"/>
        <v>-140</v>
      </c>
      <c r="F35" s="2">
        <v>821</v>
      </c>
      <c r="G35" s="2"/>
    </row>
    <row r="36" spans="3:28" x14ac:dyDescent="0.25">
      <c r="C36" s="2">
        <v>12</v>
      </c>
      <c r="D36" s="2">
        <v>1593</v>
      </c>
      <c r="E36" s="3">
        <f t="shared" si="0"/>
        <v>-124</v>
      </c>
      <c r="F36" s="2">
        <v>800</v>
      </c>
      <c r="G36" s="2"/>
    </row>
    <row r="37" spans="3:28" x14ac:dyDescent="0.25">
      <c r="C37" s="2">
        <v>13</v>
      </c>
      <c r="D37" s="2">
        <v>1717</v>
      </c>
      <c r="E37" s="3">
        <f t="shared" si="0"/>
        <v>-133</v>
      </c>
      <c r="F37" s="2">
        <v>800</v>
      </c>
      <c r="G37" s="2"/>
    </row>
    <row r="38" spans="3:28" x14ac:dyDescent="0.25">
      <c r="C38" s="2">
        <v>14</v>
      </c>
      <c r="D38" s="2">
        <v>1850</v>
      </c>
      <c r="E38" s="3">
        <f t="shared" si="0"/>
        <v>-131</v>
      </c>
      <c r="F38" s="2">
        <v>800</v>
      </c>
      <c r="G38" s="2"/>
    </row>
    <row r="39" spans="3:28" x14ac:dyDescent="0.25">
      <c r="C39" s="2">
        <v>15</v>
      </c>
      <c r="D39" s="2">
        <v>1981</v>
      </c>
      <c r="E39" s="3">
        <f t="shared" si="0"/>
        <v>-130</v>
      </c>
      <c r="F39" s="2">
        <v>800</v>
      </c>
      <c r="G39" s="2"/>
    </row>
    <row r="40" spans="3:28" x14ac:dyDescent="0.25">
      <c r="C40" s="2">
        <v>16</v>
      </c>
      <c r="D40" s="2">
        <v>2111</v>
      </c>
      <c r="E40" s="3">
        <f t="shared" si="0"/>
        <v>-135</v>
      </c>
      <c r="F40" s="2">
        <v>800</v>
      </c>
      <c r="G40" s="2"/>
    </row>
    <row r="41" spans="3:28" x14ac:dyDescent="0.25">
      <c r="C41" s="2">
        <v>17</v>
      </c>
      <c r="D41" s="2">
        <v>2246</v>
      </c>
      <c r="E41" s="3">
        <f t="shared" si="0"/>
        <v>-136</v>
      </c>
      <c r="F41" s="2">
        <v>800</v>
      </c>
      <c r="G41" s="2"/>
    </row>
    <row r="42" spans="3:28" x14ac:dyDescent="0.25">
      <c r="C42" s="2">
        <v>18</v>
      </c>
      <c r="D42" s="2">
        <v>2382</v>
      </c>
      <c r="E42" s="2"/>
      <c r="F42" s="2">
        <v>800</v>
      </c>
      <c r="G42" s="2"/>
    </row>
    <row r="45" spans="3:28" x14ac:dyDescent="0.25">
      <c r="H45" s="5" t="s">
        <v>6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</sheetData>
  <mergeCells count="6">
    <mergeCell ref="C4:G4"/>
    <mergeCell ref="H5:AB5"/>
    <mergeCell ref="H45:AB45"/>
    <mergeCell ref="A1:U1"/>
    <mergeCell ref="A2:U2"/>
    <mergeCell ref="A3:U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Здесь только целые значения мВ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2026-03-23T08:15:26Z</dcterms:modified>
</cp:coreProperties>
</file>